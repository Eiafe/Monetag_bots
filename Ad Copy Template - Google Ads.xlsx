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AFI\Downloads\"/>
    </mc:Choice>
  </mc:AlternateContent>
  <xr:revisionPtr revIDLastSave="0" documentId="13_ncr:1_{5194F5E6-8A5E-48E6-8FD1-166BD3774B44}" xr6:coauthVersionLast="36" xr6:coauthVersionMax="36" xr10:uidLastSave="{00000000-0000-0000-0000-000000000000}"/>
  <bookViews>
    <workbookView xWindow="0" yWindow="0" windowWidth="28800" windowHeight="12105" activeTab="3" xr2:uid="{00000000-000D-0000-FFFF-FFFF00000000}"/>
  </bookViews>
  <sheets>
    <sheet name="Google Ads Template" sheetId="1" r:id="rId1"/>
    <sheet name="Keywords Research Template " sheetId="2" r:id="rId2"/>
    <sheet name="Budget" sheetId="3" r:id="rId3"/>
    <sheet name="Google Ads Template (2)" sheetId="4" r:id="rId4"/>
  </sheets>
  <calcPr calcId="191029"/>
  <extLst>
    <ext uri="GoogleSheetsCustomDataVersion2">
      <go:sheetsCustomData xmlns:go="http://customooxmlschemas.google.com/" r:id="rId7" roundtripDataChecksum="IRqgDDlo5CHTJiRzdsfsFryPE9Q/d8cLAL2yhKyZlSg="/>
    </ext>
  </extLst>
</workbook>
</file>

<file path=xl/calcChain.xml><?xml version="1.0" encoding="utf-8"?>
<calcChain xmlns="http://schemas.openxmlformats.org/spreadsheetml/2006/main">
  <c r="E51" i="4" l="1"/>
  <c r="E50" i="4"/>
  <c r="E49" i="4"/>
  <c r="E48" i="4"/>
  <c r="E47" i="4"/>
  <c r="E46" i="4"/>
  <c r="E45" i="4"/>
  <c r="E43" i="4"/>
  <c r="E42" i="4"/>
  <c r="E40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D13" i="4"/>
  <c r="D12" i="4"/>
  <c r="D11" i="4"/>
  <c r="D10" i="4"/>
  <c r="E9" i="4"/>
  <c r="D9" i="4"/>
  <c r="D8" i="4"/>
  <c r="E51" i="1"/>
  <c r="E50" i="1"/>
  <c r="E49" i="1"/>
  <c r="E48" i="1"/>
  <c r="E47" i="1"/>
  <c r="E46" i="1"/>
  <c r="E45" i="1"/>
  <c r="E43" i="1"/>
  <c r="E42" i="1"/>
  <c r="E40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D13" i="1"/>
  <c r="D12" i="1"/>
  <c r="D11" i="1"/>
  <c r="D10" i="1"/>
  <c r="E9" i="1"/>
  <c r="D9" i="1"/>
  <c r="D8" i="1"/>
</calcChain>
</file>

<file path=xl/sharedStrings.xml><?xml version="1.0" encoding="utf-8"?>
<sst xmlns="http://schemas.openxmlformats.org/spreadsheetml/2006/main" count="144" uniqueCount="93">
  <si>
    <t>Ad Template 1</t>
  </si>
  <si>
    <t>AD PREVIEW - DO NOT EDIT</t>
  </si>
  <si>
    <t>Text Fields</t>
  </si>
  <si>
    <t>Type</t>
  </si>
  <si>
    <t>Copy - Fill in the Sections Below</t>
  </si>
  <si>
    <t>Character Length</t>
  </si>
  <si>
    <t>Character Limit</t>
  </si>
  <si>
    <t>Headline #1</t>
  </si>
  <si>
    <t xml:space="preserve"> Shop Natural Dog Food Now</t>
  </si>
  <si>
    <t>Headline #2</t>
  </si>
  <si>
    <t>Order Healthy Dog Food Today</t>
  </si>
  <si>
    <t>Headline #3</t>
  </si>
  <si>
    <t>Buy Puppy Dry Dog Food USA</t>
  </si>
  <si>
    <t>Headline #4</t>
  </si>
  <si>
    <t>Buy Grain Free Dog Food USA</t>
  </si>
  <si>
    <t>Headline #5</t>
  </si>
  <si>
    <t>Dog Food Deals Near You</t>
  </si>
  <si>
    <t>Headline #6</t>
  </si>
  <si>
    <t>Best Place to Buy Dog Food</t>
  </si>
  <si>
    <t>Headline #7</t>
  </si>
  <si>
    <t>Fresh Ingredients, Real Taste</t>
  </si>
  <si>
    <t>Headline #8</t>
  </si>
  <si>
    <t>Healthy Dog Meals, Fast Ship</t>
  </si>
  <si>
    <t>Headline #9</t>
  </si>
  <si>
    <t>Fresh, Healthy, Loved by Dogs</t>
  </si>
  <si>
    <t>Headline #10</t>
  </si>
  <si>
    <t>Headline #11</t>
  </si>
  <si>
    <t>Headline #12</t>
  </si>
  <si>
    <t>Headline #13</t>
  </si>
  <si>
    <t>Headline #14</t>
  </si>
  <si>
    <t>Headline #15</t>
  </si>
  <si>
    <t>Description 1</t>
  </si>
  <si>
    <t>Compare prices &amp; order the best grain-free dry dog food online today.</t>
  </si>
  <si>
    <t>Description 2</t>
  </si>
  <si>
    <t>100% fresh ingredients. No fillers, no by-products. Buy premium dog food now!</t>
  </si>
  <si>
    <t>Description 3</t>
  </si>
  <si>
    <t>Description 4</t>
  </si>
  <si>
    <t>Display URL*</t>
  </si>
  <si>
    <t>Path #1</t>
  </si>
  <si>
    <t>Path #2</t>
  </si>
  <si>
    <t>Landing Page</t>
  </si>
  <si>
    <t>Sitelink #1</t>
  </si>
  <si>
    <t>Sitelink #2</t>
  </si>
  <si>
    <t>Sitelink #3</t>
  </si>
  <si>
    <t>Sitelink #4</t>
  </si>
  <si>
    <t>Call Out Extension #1</t>
  </si>
  <si>
    <t>Call Out Extension #2</t>
  </si>
  <si>
    <t>Call Out Extension #3</t>
  </si>
  <si>
    <t>Call Out Extension #4</t>
  </si>
  <si>
    <t>Call Extension</t>
  </si>
  <si>
    <t>* Enter the basic URL from your landing page up to ".com"</t>
  </si>
  <si>
    <t>SL</t>
  </si>
  <si>
    <t>Keywords</t>
  </si>
  <si>
    <t>Avg. Monthly Searches</t>
  </si>
  <si>
    <t>Competition</t>
  </si>
  <si>
    <t>Top of Page Bid              (Low Range)</t>
  </si>
  <si>
    <t xml:space="preserve">Top of Page Bid             (High Range)  </t>
  </si>
  <si>
    <t>Negative Keywords</t>
  </si>
  <si>
    <t>cheapest place to buy dog food online</t>
  </si>
  <si>
    <t>100 – 1K</t>
  </si>
  <si>
    <t>High</t>
  </si>
  <si>
    <t>cheapest place to buy dog food</t>
  </si>
  <si>
    <t>dry dog food online</t>
  </si>
  <si>
    <t>10 – 100</t>
  </si>
  <si>
    <t>Medium</t>
  </si>
  <si>
    <t>dry best dog food</t>
  </si>
  <si>
    <t>10K – 100K</t>
  </si>
  <si>
    <t>cheapest place to get dog food</t>
  </si>
  <si>
    <t>dog food usa</t>
  </si>
  <si>
    <t>puppy dog food price</t>
  </si>
  <si>
    <t>buy dog food online</t>
  </si>
  <si>
    <t>1K – 10K</t>
  </si>
  <si>
    <t>chewy dog food</t>
  </si>
  <si>
    <t>affordable dog food</t>
  </si>
  <si>
    <t xml:space="preserve"> Top Medical Service in USA</t>
  </si>
  <si>
    <t>Affordable Healthcare USA</t>
  </si>
  <si>
    <t>Fast Medical Care in USA</t>
  </si>
  <si>
    <t>Local Healthcare Services</t>
  </si>
  <si>
    <t>Get 20% Off Medical Care</t>
  </si>
  <si>
    <t xml:space="preserve">Register Today for Medical  </t>
  </si>
  <si>
    <t>Book Medical Care Online</t>
  </si>
  <si>
    <t>Expert Healthcare Provider</t>
  </si>
  <si>
    <t>Registration Online Now</t>
  </si>
  <si>
    <t>20% Off Your First Visit</t>
  </si>
  <si>
    <t>Urgent Healthcare Near Me</t>
  </si>
  <si>
    <t>Registration Now - Limited</t>
  </si>
  <si>
    <t>Medical Clinic Open Now</t>
  </si>
  <si>
    <t>Occupational Healthcare USA</t>
  </si>
  <si>
    <t>Same Day Appointments Open</t>
  </si>
  <si>
    <t>Find a trusted medical center in USA. Occupational &amp; family care. Get 20% Off.</t>
  </si>
  <si>
    <t>Expert medical center near you. Clear results, fast delivery of care. Registration today.</t>
  </si>
  <si>
    <t>Top-rated medical care in USA. Get 20% off today. Quick results &amp; expert care. Book now!</t>
  </si>
  <si>
    <t>Trusted medical care in USA. Same-day visits &amp; expert doctors. Register Today &amp; save 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</si>
</sst>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6"/>
      <color theme="1"/>
      <name val="Calibri"/>
    </font>
    <font>
      <b/>
      <u/>
      <sz val="14"/>
      <color rgb="FF0070C0"/>
      <name val="Calibri"/>
    </font>
    <font>
      <b/>
      <sz val="14"/>
      <color theme="1"/>
      <name val="Calibri"/>
    </font>
    <font>
      <u/>
      <sz val="13"/>
      <color theme="4"/>
      <name val="Calibri"/>
    </font>
    <font>
      <sz val="11"/>
      <color rgb="FF757070"/>
      <name val="Calibri"/>
    </font>
    <font>
      <sz val="11"/>
      <color rgb="FF548135"/>
      <name val="Calibri"/>
    </font>
    <font>
      <sz val="11"/>
      <color rgb="FF0070C0"/>
      <name val="Calibri"/>
    </font>
    <font>
      <sz val="11"/>
      <color theme="1"/>
      <name val="Calibri"/>
      <scheme val="minor"/>
    </font>
    <font>
      <sz val="12"/>
      <color rgb="FF374151"/>
      <name val="Söhne"/>
    </font>
    <font>
      <u/>
      <sz val="11"/>
      <color theme="10"/>
      <name val="Calibri"/>
    </font>
    <font>
      <sz val="11"/>
      <color rgb="FF0563C1"/>
      <name val="Calibri"/>
    </font>
    <font>
      <b/>
      <sz val="12"/>
      <color rgb="FFFFFFFF"/>
      <name val="Arial"/>
    </font>
    <font>
      <b/>
      <sz val="12"/>
      <color rgb="FFFFFFFF"/>
      <name val="Calibri"/>
    </font>
    <font>
      <sz val="11"/>
      <color theme="1"/>
      <name val="Arial"/>
    </font>
    <font>
      <sz val="9"/>
      <color rgb="FF202124"/>
      <name val="Roboto"/>
    </font>
    <font>
      <sz val="9"/>
      <color rgb="FF3C4043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F7F8"/>
        <bgColor rgb="FFF7F7F8"/>
      </patternFill>
    </fill>
    <fill>
      <patternFill patternType="solid">
        <fgColor rgb="FFCC4125"/>
        <bgColor rgb="FFCC4125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/>
    <xf numFmtId="0" fontId="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/>
    </xf>
    <xf numFmtId="0" fontId="1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14" fillId="4" borderId="11" xfId="0" applyFont="1" applyFill="1" applyBorder="1" applyAlignment="1">
      <alignment horizontal="center" wrapText="1"/>
    </xf>
    <xf numFmtId="0" fontId="15" fillId="4" borderId="11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7" fillId="5" borderId="11" xfId="0" applyFont="1" applyFill="1" applyBorder="1" applyAlignment="1"/>
    <xf numFmtId="3" fontId="17" fillId="5" borderId="11" xfId="0" applyNumberFormat="1" applyFont="1" applyFill="1" applyBorder="1" applyAlignment="1">
      <alignment horizontal="right"/>
    </xf>
    <xf numFmtId="164" fontId="17" fillId="5" borderId="11" xfId="0" applyNumberFormat="1" applyFont="1" applyFill="1" applyBorder="1" applyAlignment="1">
      <alignment horizontal="right"/>
    </xf>
    <xf numFmtId="164" fontId="18" fillId="6" borderId="11" xfId="0" applyNumberFormat="1" applyFont="1" applyFill="1" applyBorder="1" applyAlignment="1">
      <alignment horizontal="right"/>
    </xf>
    <xf numFmtId="0" fontId="16" fillId="6" borderId="11" xfId="0" applyFont="1" applyFill="1" applyBorder="1" applyAlignment="1"/>
    <xf numFmtId="0" fontId="18" fillId="6" borderId="11" xfId="0" applyFont="1" applyFill="1" applyBorder="1" applyAlignment="1"/>
    <xf numFmtId="3" fontId="18" fillId="6" borderId="11" xfId="0" applyNumberFormat="1" applyFont="1" applyFill="1" applyBorder="1" applyAlignment="1">
      <alignment horizontal="right"/>
    </xf>
    <xf numFmtId="0" fontId="16" fillId="0" borderId="11" xfId="0" applyFont="1" applyBorder="1" applyAlignment="1"/>
    <xf numFmtId="0" fontId="18" fillId="6" borderId="11" xfId="0" applyFont="1" applyFill="1" applyBorder="1" applyAlignment="1">
      <alignment horizontal="right"/>
    </xf>
    <xf numFmtId="164" fontId="16" fillId="0" borderId="11" xfId="0" applyNumberFormat="1" applyFont="1" applyBorder="1" applyAlignment="1">
      <alignment horizontal="right"/>
    </xf>
    <xf numFmtId="164" fontId="16" fillId="6" borderId="11" xfId="0" applyNumberFormat="1" applyFont="1" applyFill="1" applyBorder="1" applyAlignment="1"/>
    <xf numFmtId="0" fontId="16" fillId="6" borderId="11" xfId="0" applyFont="1" applyFill="1" applyBorder="1" applyAlignment="1"/>
    <xf numFmtId="0" fontId="17" fillId="5" borderId="0" xfId="0" applyFont="1" applyFill="1" applyAlignment="1"/>
    <xf numFmtId="0" fontId="18" fillId="6" borderId="0" xfId="0" applyFont="1" applyFill="1" applyAlignment="1">
      <alignment horizontal="right"/>
    </xf>
    <xf numFmtId="0" fontId="18" fillId="6" borderId="0" xfId="0" applyFont="1" applyFill="1" applyAlignment="1"/>
    <xf numFmtId="164" fontId="18" fillId="6" borderId="0" xfId="0" applyNumberFormat="1" applyFont="1" applyFill="1" applyAlignment="1">
      <alignment horizontal="right"/>
    </xf>
    <xf numFmtId="164" fontId="17" fillId="5" borderId="0" xfId="0" applyNumberFormat="1" applyFont="1" applyFill="1" applyAlignment="1">
      <alignment horizontal="right"/>
    </xf>
    <xf numFmtId="0" fontId="16" fillId="5" borderId="11" xfId="0" applyFont="1" applyFill="1" applyBorder="1" applyAlignment="1"/>
    <xf numFmtId="0" fontId="16" fillId="0" borderId="11" xfId="0" applyFont="1" applyBorder="1" applyAlignment="1"/>
    <xf numFmtId="0" fontId="16" fillId="0" borderId="0" xfId="0" applyFont="1" applyAlignment="1"/>
  </cellXfs>
  <cellStyles count="1">
    <cellStyle name="Normal" xfId="0" builtinId="0"/>
  </cellStyles>
  <dxfs count="15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4"/>
  <sheetViews>
    <sheetView showGridLines="0" topLeftCell="A23" workbookViewId="0">
      <selection activeCell="D30" sqref="D30"/>
    </sheetView>
  </sheetViews>
  <sheetFormatPr defaultColWidth="14.42578125" defaultRowHeight="15" customHeight="1"/>
  <cols>
    <col min="1" max="1" width="1.7109375" customWidth="1"/>
    <col min="2" max="2" width="18" customWidth="1"/>
    <col min="3" max="3" width="20" customWidth="1"/>
    <col min="4" max="4" width="97" customWidth="1"/>
    <col min="5" max="5" width="23.140625" customWidth="1"/>
    <col min="6" max="6" width="16.140625" customWidth="1"/>
    <col min="7" max="8" width="9.140625" customWidth="1"/>
    <col min="9" max="9" width="40" customWidth="1"/>
    <col min="10" max="26" width="9.140625" customWidth="1"/>
  </cols>
  <sheetData>
    <row r="1" spans="1:26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>
      <c r="A3" s="1"/>
      <c r="B3" s="2"/>
      <c r="C3" s="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>
      <c r="A6" s="1"/>
      <c r="B6" s="4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>
      <c r="A7" s="1"/>
      <c r="B7" s="2"/>
      <c r="C7" s="5" t="s">
        <v>1</v>
      </c>
      <c r="D7" s="6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>
      <c r="A8" s="1"/>
      <c r="B8" s="2"/>
      <c r="C8" s="8"/>
      <c r="D8" s="9" t="str">
        <f>D20&amp;" "&amp;"|"&amp;" "&amp;D21&amp;" "&amp;"|"&amp;" "&amp;D23</f>
        <v xml:space="preserve"> Shop Natural Dog Food Now | Order Healthy Dog Food Today | Buy Grain Free Dog Food USA</v>
      </c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6.5" customHeight="1">
      <c r="A9" s="1"/>
      <c r="B9" s="2"/>
      <c r="C9" s="8"/>
      <c r="D9" s="11" t="e">
        <f>#REF!&amp;" "&amp;D40</f>
        <v>#REF!</v>
      </c>
      <c r="E9" s="12">
        <f>D53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2"/>
      <c r="C10" s="8"/>
      <c r="D10" s="13" t="str">
        <f>D41&amp;"/"&amp;D36&amp;"/"&amp;D37</f>
        <v>/100% fresh ingredients. No fillers, no by-products. Buy premium dog food now!/</v>
      </c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"/>
      <c r="C11" s="8"/>
      <c r="D11" s="14" t="str">
        <f>D49&amp;" "&amp;"|"&amp;" "&amp;D50&amp;" "&amp;"|"&amp;" "&amp;D51&amp;" "&amp;"|"&amp;" "&amp;D52</f>
        <v xml:space="preserve"> |  |  | 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2"/>
      <c r="C12" s="8"/>
      <c r="D12" s="15" t="str">
        <f>D45&amp;"                                                                 "&amp;D46</f>
        <v xml:space="preserve">                                                                 </v>
      </c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"/>
      <c r="C13" s="8"/>
      <c r="D13" s="15" t="str">
        <f>D47&amp;"                                                                         "&amp;D48</f>
        <v xml:space="preserve">                                                                         </v>
      </c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2"/>
      <c r="C14" s="8"/>
      <c r="D14" s="13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"/>
      <c r="C15" s="8"/>
      <c r="D15" s="13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2"/>
      <c r="C16" s="16"/>
      <c r="D16" s="17"/>
      <c r="E16" s="1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>
      <c r="A18" s="1"/>
      <c r="B18" s="4" t="s">
        <v>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/>
      <c r="B19" s="2"/>
      <c r="C19" s="19" t="s">
        <v>3</v>
      </c>
      <c r="D19" s="19" t="s">
        <v>4</v>
      </c>
      <c r="E19" s="20" t="s">
        <v>5</v>
      </c>
      <c r="F19" s="20" t="s">
        <v>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2"/>
      <c r="C20" s="19" t="s">
        <v>7</v>
      </c>
      <c r="D20" s="21" t="s">
        <v>8</v>
      </c>
      <c r="E20" s="22">
        <f t="shared" ref="E20:E35" si="0">LEN(D20)</f>
        <v>26</v>
      </c>
      <c r="F20" s="22">
        <v>30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2"/>
      <c r="C21" s="19" t="s">
        <v>9</v>
      </c>
      <c r="D21" s="21" t="s">
        <v>10</v>
      </c>
      <c r="E21" s="22">
        <f t="shared" si="0"/>
        <v>28</v>
      </c>
      <c r="F21" s="22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2"/>
      <c r="C22" s="19" t="s">
        <v>11</v>
      </c>
      <c r="D22" s="21" t="s">
        <v>12</v>
      </c>
      <c r="E22" s="22">
        <f t="shared" si="0"/>
        <v>26</v>
      </c>
      <c r="F22" s="22">
        <v>30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2"/>
      <c r="C23" s="19" t="s">
        <v>13</v>
      </c>
      <c r="D23" s="21" t="s">
        <v>14</v>
      </c>
      <c r="E23" s="22">
        <f t="shared" si="0"/>
        <v>27</v>
      </c>
      <c r="F23" s="22">
        <v>30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2"/>
      <c r="C24" s="19" t="s">
        <v>15</v>
      </c>
      <c r="D24" s="21" t="s">
        <v>16</v>
      </c>
      <c r="E24" s="22">
        <f t="shared" si="0"/>
        <v>23</v>
      </c>
      <c r="F24" s="22">
        <v>30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2"/>
      <c r="C25" s="19" t="s">
        <v>17</v>
      </c>
      <c r="D25" s="21" t="s">
        <v>18</v>
      </c>
      <c r="E25" s="22">
        <f t="shared" si="0"/>
        <v>26</v>
      </c>
      <c r="F25" s="22">
        <v>30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2"/>
      <c r="C26" s="19" t="s">
        <v>19</v>
      </c>
      <c r="D26" s="21" t="s">
        <v>20</v>
      </c>
      <c r="E26" s="22">
        <f t="shared" si="0"/>
        <v>29</v>
      </c>
      <c r="F26" s="22">
        <v>30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2"/>
      <c r="C27" s="19" t="s">
        <v>21</v>
      </c>
      <c r="D27" s="21" t="s">
        <v>22</v>
      </c>
      <c r="E27" s="22">
        <f t="shared" si="0"/>
        <v>28</v>
      </c>
      <c r="F27" s="22">
        <v>30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2"/>
      <c r="C28" s="19" t="s">
        <v>23</v>
      </c>
      <c r="D28" s="21" t="s">
        <v>24</v>
      </c>
      <c r="E28" s="22">
        <f t="shared" si="0"/>
        <v>29</v>
      </c>
      <c r="F28" s="22">
        <v>30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2"/>
      <c r="C29" s="19" t="s">
        <v>25</v>
      </c>
      <c r="D29" s="23"/>
      <c r="E29" s="22">
        <f t="shared" si="0"/>
        <v>0</v>
      </c>
      <c r="F29" s="22">
        <v>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2"/>
      <c r="C30" s="19" t="s">
        <v>26</v>
      </c>
      <c r="D30" s="23"/>
      <c r="E30" s="22">
        <f t="shared" si="0"/>
        <v>0</v>
      </c>
      <c r="F30" s="22">
        <v>30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2"/>
      <c r="C31" s="19" t="s">
        <v>27</v>
      </c>
      <c r="D31" s="23"/>
      <c r="E31" s="22">
        <f t="shared" si="0"/>
        <v>0</v>
      </c>
      <c r="F31" s="22">
        <v>30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2"/>
      <c r="C32" s="19" t="s">
        <v>28</v>
      </c>
      <c r="D32" s="23"/>
      <c r="E32" s="22">
        <f t="shared" si="0"/>
        <v>0</v>
      </c>
      <c r="F32" s="22">
        <v>30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2"/>
      <c r="C33" s="19" t="s">
        <v>29</v>
      </c>
      <c r="D33" s="23"/>
      <c r="E33" s="22">
        <f t="shared" si="0"/>
        <v>0</v>
      </c>
      <c r="F33" s="22">
        <v>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2"/>
      <c r="C34" s="19" t="s">
        <v>30</v>
      </c>
      <c r="D34" s="23"/>
      <c r="E34" s="22">
        <f t="shared" si="0"/>
        <v>0</v>
      </c>
      <c r="F34" s="22">
        <v>30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.75" customHeight="1">
      <c r="A35" s="1"/>
      <c r="B35" s="2"/>
      <c r="C35" s="19" t="s">
        <v>31</v>
      </c>
      <c r="D35" s="21" t="s">
        <v>32</v>
      </c>
      <c r="E35" s="22">
        <f t="shared" si="0"/>
        <v>69</v>
      </c>
      <c r="F35" s="22">
        <v>90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.75" customHeight="1">
      <c r="A36" s="1"/>
      <c r="B36" s="2"/>
      <c r="C36" s="19" t="s">
        <v>33</v>
      </c>
      <c r="D36" s="21" t="s">
        <v>34</v>
      </c>
      <c r="E36" s="22" t="e">
        <f t="shared" ref="E36:E37" si="1">LEN(#REF!)</f>
        <v>#REF!</v>
      </c>
      <c r="F36" s="22">
        <v>90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.75" customHeight="1">
      <c r="A37" s="1"/>
      <c r="B37" s="2"/>
      <c r="C37" s="19" t="s">
        <v>35</v>
      </c>
      <c r="D37" s="21"/>
      <c r="E37" s="22" t="e">
        <f t="shared" si="1"/>
        <v>#REF!</v>
      </c>
      <c r="F37" s="22">
        <v>90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.25" customHeight="1">
      <c r="A38" s="1"/>
      <c r="B38" s="2"/>
      <c r="C38" s="19"/>
      <c r="D38" s="24"/>
      <c r="E38" s="22"/>
      <c r="F38" s="2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.25" customHeight="1">
      <c r="A39" s="1"/>
      <c r="B39" s="2"/>
      <c r="C39" s="19"/>
      <c r="D39" s="24"/>
      <c r="E39" s="22"/>
      <c r="F39" s="2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.75" customHeight="1">
      <c r="A40" s="1"/>
      <c r="B40" s="2"/>
      <c r="C40" s="19" t="s">
        <v>36</v>
      </c>
      <c r="D40" s="23"/>
      <c r="E40" s="22">
        <f>LEN(D40)</f>
        <v>0</v>
      </c>
      <c r="F40" s="22">
        <v>90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2"/>
      <c r="C41" s="19" t="s">
        <v>37</v>
      </c>
      <c r="D41" s="25"/>
      <c r="E41" s="22"/>
      <c r="F41" s="2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2"/>
      <c r="C42" s="19" t="s">
        <v>38</v>
      </c>
      <c r="E42" s="22">
        <f t="shared" ref="E42:E43" si="2">LEN(D36)</f>
        <v>77</v>
      </c>
      <c r="F42" s="22">
        <v>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2"/>
      <c r="C43" s="19" t="s">
        <v>39</v>
      </c>
      <c r="E43" s="22">
        <f t="shared" si="2"/>
        <v>0</v>
      </c>
      <c r="F43" s="22">
        <v>15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2"/>
      <c r="C44" s="19" t="s">
        <v>40</v>
      </c>
      <c r="D44" s="26"/>
      <c r="E44" s="22"/>
      <c r="F44" s="2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2"/>
      <c r="C45" s="19" t="s">
        <v>41</v>
      </c>
      <c r="D45" s="1"/>
      <c r="E45" s="22">
        <f t="shared" ref="E45:E51" si="3">LEN(D45)</f>
        <v>0</v>
      </c>
      <c r="F45" s="22">
        <v>25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2"/>
      <c r="C46" s="19" t="s">
        <v>42</v>
      </c>
      <c r="D46" s="1"/>
      <c r="E46" s="22">
        <f t="shared" si="3"/>
        <v>0</v>
      </c>
      <c r="F46" s="22">
        <v>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2"/>
      <c r="C47" s="19" t="s">
        <v>43</v>
      </c>
      <c r="D47" s="1"/>
      <c r="E47" s="22">
        <f t="shared" si="3"/>
        <v>0</v>
      </c>
      <c r="F47" s="22">
        <v>25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2"/>
      <c r="C48" s="19" t="s">
        <v>44</v>
      </c>
      <c r="D48" s="1"/>
      <c r="E48" s="22">
        <f t="shared" si="3"/>
        <v>0</v>
      </c>
      <c r="F48" s="22">
        <v>25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2"/>
      <c r="C49" s="19" t="s">
        <v>45</v>
      </c>
      <c r="D49" s="1"/>
      <c r="E49" s="22">
        <f t="shared" si="3"/>
        <v>0</v>
      </c>
      <c r="F49" s="22">
        <v>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2"/>
      <c r="C50" s="19" t="s">
        <v>46</v>
      </c>
      <c r="D50" s="1"/>
      <c r="E50" s="22">
        <f t="shared" si="3"/>
        <v>0</v>
      </c>
      <c r="F50" s="22">
        <v>25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2"/>
      <c r="C51" s="19" t="s">
        <v>47</v>
      </c>
      <c r="D51" s="1"/>
      <c r="E51" s="22">
        <f t="shared" si="3"/>
        <v>0</v>
      </c>
      <c r="F51" s="22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2"/>
      <c r="C52" s="19" t="s">
        <v>48</v>
      </c>
      <c r="D52" s="1"/>
      <c r="E52" s="22"/>
      <c r="F52" s="2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2"/>
      <c r="C53" s="19" t="s">
        <v>49</v>
      </c>
      <c r="D53" s="27"/>
      <c r="E53" s="22"/>
      <c r="F53" s="2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"/>
      <c r="C55" s="1"/>
      <c r="D55" s="19" t="s">
        <v>50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</sheetData>
  <conditionalFormatting sqref="E20:E21">
    <cfRule type="cellIs" dxfId="151" priority="1" operator="lessThan">
      <formula>31</formula>
    </cfRule>
  </conditionalFormatting>
  <conditionalFormatting sqref="E20:E21">
    <cfRule type="cellIs" dxfId="150" priority="2" operator="greaterThan">
      <formula>30</formula>
    </cfRule>
  </conditionalFormatting>
  <conditionalFormatting sqref="E42:E43">
    <cfRule type="cellIs" dxfId="149" priority="3" operator="lessThan">
      <formula>16</formula>
    </cfRule>
  </conditionalFormatting>
  <conditionalFormatting sqref="E42:E43">
    <cfRule type="cellIs" dxfId="148" priority="4" operator="greaterThan">
      <formula>15</formula>
    </cfRule>
  </conditionalFormatting>
  <conditionalFormatting sqref="E23">
    <cfRule type="cellIs" dxfId="147" priority="5" operator="lessThan">
      <formula>31</formula>
    </cfRule>
  </conditionalFormatting>
  <conditionalFormatting sqref="E23">
    <cfRule type="cellIs" dxfId="146" priority="6" operator="greaterThan">
      <formula>30</formula>
    </cfRule>
  </conditionalFormatting>
  <conditionalFormatting sqref="E37:E39">
    <cfRule type="cellIs" dxfId="145" priority="7" operator="lessThan">
      <formula>81</formula>
    </cfRule>
  </conditionalFormatting>
  <conditionalFormatting sqref="E37:E39">
    <cfRule type="cellIs" dxfId="144" priority="8" operator="greaterThan">
      <formula>80</formula>
    </cfRule>
  </conditionalFormatting>
  <conditionalFormatting sqref="E40">
    <cfRule type="cellIs" dxfId="143" priority="9" operator="greaterThan">
      <formula>91</formula>
    </cfRule>
  </conditionalFormatting>
  <conditionalFormatting sqref="E40">
    <cfRule type="cellIs" dxfId="142" priority="10" operator="lessThan">
      <formula>81</formula>
    </cfRule>
  </conditionalFormatting>
  <conditionalFormatting sqref="E40">
    <cfRule type="cellIs" dxfId="141" priority="11" operator="greaterThan">
      <formula>80</formula>
    </cfRule>
  </conditionalFormatting>
  <conditionalFormatting sqref="E37:E40">
    <cfRule type="cellIs" dxfId="140" priority="12" operator="lessThan">
      <formula>91</formula>
    </cfRule>
  </conditionalFormatting>
  <conditionalFormatting sqref="E37:E40">
    <cfRule type="cellIs" dxfId="139" priority="13" operator="greaterThan">
      <formula>91</formula>
    </cfRule>
  </conditionalFormatting>
  <conditionalFormatting sqref="E37:E40">
    <cfRule type="cellIs" dxfId="138" priority="14" operator="lessThan">
      <formula>90</formula>
    </cfRule>
  </conditionalFormatting>
  <conditionalFormatting sqref="E37:E40">
    <cfRule type="cellIs" dxfId="137" priority="15" operator="greaterThan">
      <formula>90</formula>
    </cfRule>
  </conditionalFormatting>
  <conditionalFormatting sqref="E37">
    <cfRule type="cellIs" dxfId="136" priority="16" operator="lessThan">
      <formula>91</formula>
    </cfRule>
  </conditionalFormatting>
  <conditionalFormatting sqref="E37">
    <cfRule type="cellIs" dxfId="135" priority="17" operator="greaterThan">
      <formula>91</formula>
    </cfRule>
  </conditionalFormatting>
  <conditionalFormatting sqref="E37">
    <cfRule type="cellIs" dxfId="134" priority="18" operator="greaterThan">
      <formula>91</formula>
    </cfRule>
  </conditionalFormatting>
  <conditionalFormatting sqref="E48">
    <cfRule type="cellIs" dxfId="133" priority="19" operator="lessThan">
      <formula>16</formula>
    </cfRule>
  </conditionalFormatting>
  <conditionalFormatting sqref="E48">
    <cfRule type="cellIs" dxfId="132" priority="20" operator="greaterThan">
      <formula>15</formula>
    </cfRule>
  </conditionalFormatting>
  <conditionalFormatting sqref="E49">
    <cfRule type="cellIs" dxfId="131" priority="21" operator="lessThan">
      <formula>16</formula>
    </cfRule>
  </conditionalFormatting>
  <conditionalFormatting sqref="E49">
    <cfRule type="cellIs" dxfId="130" priority="22" operator="greaterThan">
      <formula>15</formula>
    </cfRule>
  </conditionalFormatting>
  <conditionalFormatting sqref="E50">
    <cfRule type="cellIs" dxfId="129" priority="23" operator="lessThan">
      <formula>16</formula>
    </cfRule>
  </conditionalFormatting>
  <conditionalFormatting sqref="E50">
    <cfRule type="cellIs" dxfId="128" priority="24" operator="greaterThan">
      <formula>15</formula>
    </cfRule>
  </conditionalFormatting>
  <conditionalFormatting sqref="E51">
    <cfRule type="cellIs" dxfId="127" priority="25" operator="lessThan">
      <formula>16</formula>
    </cfRule>
  </conditionalFormatting>
  <conditionalFormatting sqref="E51">
    <cfRule type="cellIs" dxfId="126" priority="26" operator="greaterThan">
      <formula>15</formula>
    </cfRule>
  </conditionalFormatting>
  <conditionalFormatting sqref="E45">
    <cfRule type="cellIs" dxfId="125" priority="27" operator="lessThan">
      <formula>16</formula>
    </cfRule>
  </conditionalFormatting>
  <conditionalFormatting sqref="E45">
    <cfRule type="cellIs" dxfId="124" priority="28" operator="greaterThan">
      <formula>15</formula>
    </cfRule>
  </conditionalFormatting>
  <conditionalFormatting sqref="E46">
    <cfRule type="cellIs" dxfId="123" priority="29" operator="lessThan">
      <formula>16</formula>
    </cfRule>
  </conditionalFormatting>
  <conditionalFormatting sqref="E46">
    <cfRule type="cellIs" dxfId="122" priority="30" operator="greaterThan">
      <formula>15</formula>
    </cfRule>
  </conditionalFormatting>
  <conditionalFormatting sqref="E47">
    <cfRule type="cellIs" dxfId="121" priority="31" operator="lessThan">
      <formula>16</formula>
    </cfRule>
  </conditionalFormatting>
  <conditionalFormatting sqref="E47">
    <cfRule type="cellIs" dxfId="120" priority="32" operator="greaterThan">
      <formula>15</formula>
    </cfRule>
  </conditionalFormatting>
  <conditionalFormatting sqref="E45:E48">
    <cfRule type="cellIs" dxfId="119" priority="33" operator="lessThan">
      <formula>26</formula>
    </cfRule>
  </conditionalFormatting>
  <conditionalFormatting sqref="E45:E48">
    <cfRule type="cellIs" dxfId="118" priority="34" operator="greaterThan">
      <formula>26</formula>
    </cfRule>
  </conditionalFormatting>
  <conditionalFormatting sqref="E22">
    <cfRule type="cellIs" dxfId="117" priority="35" operator="lessThan">
      <formula>31</formula>
    </cfRule>
  </conditionalFormatting>
  <conditionalFormatting sqref="E22">
    <cfRule type="cellIs" dxfId="116" priority="36" operator="greaterThan">
      <formula>30</formula>
    </cfRule>
  </conditionalFormatting>
  <conditionalFormatting sqref="E34">
    <cfRule type="cellIs" dxfId="115" priority="37" operator="lessThan">
      <formula>31</formula>
    </cfRule>
  </conditionalFormatting>
  <conditionalFormatting sqref="E34">
    <cfRule type="cellIs" dxfId="114" priority="38" operator="greaterThan">
      <formula>30</formula>
    </cfRule>
  </conditionalFormatting>
  <conditionalFormatting sqref="E36">
    <cfRule type="cellIs" dxfId="113" priority="39" operator="lessThan">
      <formula>81</formula>
    </cfRule>
  </conditionalFormatting>
  <conditionalFormatting sqref="E36">
    <cfRule type="cellIs" dxfId="112" priority="40" operator="greaterThan">
      <formula>80</formula>
    </cfRule>
  </conditionalFormatting>
  <conditionalFormatting sqref="E36">
    <cfRule type="cellIs" dxfId="111" priority="41" operator="lessThan">
      <formula>91</formula>
    </cfRule>
  </conditionalFormatting>
  <conditionalFormatting sqref="E36">
    <cfRule type="cellIs" dxfId="110" priority="42" operator="greaterThan">
      <formula>91</formula>
    </cfRule>
  </conditionalFormatting>
  <conditionalFormatting sqref="E36">
    <cfRule type="cellIs" dxfId="109" priority="43" operator="lessThan">
      <formula>90</formula>
    </cfRule>
  </conditionalFormatting>
  <conditionalFormatting sqref="E36">
    <cfRule type="cellIs" dxfId="108" priority="44" operator="greaterThan">
      <formula>90</formula>
    </cfRule>
  </conditionalFormatting>
  <conditionalFormatting sqref="E36">
    <cfRule type="cellIs" dxfId="107" priority="45" operator="lessThan">
      <formula>91</formula>
    </cfRule>
  </conditionalFormatting>
  <conditionalFormatting sqref="E36">
    <cfRule type="cellIs" dxfId="106" priority="46" operator="greaterThan">
      <formula>91</formula>
    </cfRule>
  </conditionalFormatting>
  <conditionalFormatting sqref="E36">
    <cfRule type="cellIs" dxfId="105" priority="47" operator="greaterThan">
      <formula>91</formula>
    </cfRule>
  </conditionalFormatting>
  <conditionalFormatting sqref="E35">
    <cfRule type="cellIs" dxfId="104" priority="48" operator="lessThan">
      <formula>81</formula>
    </cfRule>
  </conditionalFormatting>
  <conditionalFormatting sqref="E35">
    <cfRule type="cellIs" dxfId="103" priority="49" operator="greaterThan">
      <formula>80</formula>
    </cfRule>
  </conditionalFormatting>
  <conditionalFormatting sqref="E35">
    <cfRule type="cellIs" dxfId="102" priority="50" operator="lessThan">
      <formula>91</formula>
    </cfRule>
  </conditionalFormatting>
  <conditionalFormatting sqref="E35">
    <cfRule type="cellIs" dxfId="101" priority="51" operator="greaterThan">
      <formula>91</formula>
    </cfRule>
  </conditionalFormatting>
  <conditionalFormatting sqref="E35">
    <cfRule type="cellIs" dxfId="100" priority="52" operator="lessThan">
      <formula>90</formula>
    </cfRule>
  </conditionalFormatting>
  <conditionalFormatting sqref="E35">
    <cfRule type="cellIs" dxfId="99" priority="53" operator="greaterThan">
      <formula>90</formula>
    </cfRule>
  </conditionalFormatting>
  <conditionalFormatting sqref="E35">
    <cfRule type="cellIs" dxfId="98" priority="54" operator="lessThan">
      <formula>91</formula>
    </cfRule>
  </conditionalFormatting>
  <conditionalFormatting sqref="E35">
    <cfRule type="cellIs" dxfId="97" priority="55" operator="greaterThan">
      <formula>91</formula>
    </cfRule>
  </conditionalFormatting>
  <conditionalFormatting sqref="E35">
    <cfRule type="cellIs" dxfId="96" priority="56" operator="greaterThan">
      <formula>91</formula>
    </cfRule>
  </conditionalFormatting>
  <conditionalFormatting sqref="E24">
    <cfRule type="cellIs" dxfId="95" priority="57" operator="lessThan">
      <formula>31</formula>
    </cfRule>
  </conditionalFormatting>
  <conditionalFormatting sqref="E24">
    <cfRule type="cellIs" dxfId="94" priority="58" operator="greaterThan">
      <formula>30</formula>
    </cfRule>
  </conditionalFormatting>
  <conditionalFormatting sqref="E25">
    <cfRule type="cellIs" dxfId="93" priority="59" operator="lessThan">
      <formula>31</formula>
    </cfRule>
  </conditionalFormatting>
  <conditionalFormatting sqref="E25">
    <cfRule type="cellIs" dxfId="92" priority="60" operator="greaterThan">
      <formula>30</formula>
    </cfRule>
  </conditionalFormatting>
  <conditionalFormatting sqref="E26">
    <cfRule type="cellIs" dxfId="91" priority="61" operator="lessThan">
      <formula>31</formula>
    </cfRule>
  </conditionalFormatting>
  <conditionalFormatting sqref="E26">
    <cfRule type="cellIs" dxfId="90" priority="62" operator="greaterThan">
      <formula>30</formula>
    </cfRule>
  </conditionalFormatting>
  <conditionalFormatting sqref="E27">
    <cfRule type="cellIs" dxfId="89" priority="63" operator="lessThan">
      <formula>31</formula>
    </cfRule>
  </conditionalFormatting>
  <conditionalFormatting sqref="E27">
    <cfRule type="cellIs" dxfId="88" priority="64" operator="greaterThan">
      <formula>30</formula>
    </cfRule>
  </conditionalFormatting>
  <conditionalFormatting sqref="E28">
    <cfRule type="cellIs" dxfId="87" priority="65" operator="lessThan">
      <formula>31</formula>
    </cfRule>
  </conditionalFormatting>
  <conditionalFormatting sqref="E28">
    <cfRule type="cellIs" dxfId="86" priority="66" operator="greaterThan">
      <formula>30</formula>
    </cfRule>
  </conditionalFormatting>
  <conditionalFormatting sqref="E29">
    <cfRule type="cellIs" dxfId="85" priority="67" operator="lessThan">
      <formula>31</formula>
    </cfRule>
  </conditionalFormatting>
  <conditionalFormatting sqref="E29">
    <cfRule type="cellIs" dxfId="84" priority="68" operator="greaterThan">
      <formula>30</formula>
    </cfRule>
  </conditionalFormatting>
  <conditionalFormatting sqref="E30">
    <cfRule type="cellIs" dxfId="83" priority="69" operator="lessThan">
      <formula>31</formula>
    </cfRule>
  </conditionalFormatting>
  <conditionalFormatting sqref="E30">
    <cfRule type="cellIs" dxfId="82" priority="70" operator="greaterThan">
      <formula>30</formula>
    </cfRule>
  </conditionalFormatting>
  <conditionalFormatting sqref="E32">
    <cfRule type="cellIs" dxfId="81" priority="71" operator="lessThan">
      <formula>31</formula>
    </cfRule>
  </conditionalFormatting>
  <conditionalFormatting sqref="E32">
    <cfRule type="cellIs" dxfId="80" priority="72" operator="greaterThan">
      <formula>30</formula>
    </cfRule>
  </conditionalFormatting>
  <conditionalFormatting sqref="E31">
    <cfRule type="cellIs" dxfId="79" priority="73" operator="lessThan">
      <formula>31</formula>
    </cfRule>
  </conditionalFormatting>
  <conditionalFormatting sqref="E31">
    <cfRule type="cellIs" dxfId="78" priority="74" operator="greaterThan">
      <formula>30</formula>
    </cfRule>
  </conditionalFormatting>
  <conditionalFormatting sqref="E33">
    <cfRule type="cellIs" dxfId="77" priority="75" operator="lessThan">
      <formula>31</formula>
    </cfRule>
  </conditionalFormatting>
  <conditionalFormatting sqref="E33">
    <cfRule type="cellIs" dxfId="76" priority="76" operator="greaterThan">
      <formula>30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3"/>
  <sheetViews>
    <sheetView workbookViewId="0"/>
  </sheetViews>
  <sheetFormatPr defaultColWidth="14.42578125" defaultRowHeight="15" customHeight="1"/>
  <cols>
    <col min="1" max="1" width="8.7109375" customWidth="1"/>
    <col min="2" max="2" width="39.5703125" customWidth="1"/>
    <col min="3" max="3" width="20.28515625" customWidth="1"/>
    <col min="4" max="4" width="14.42578125" customWidth="1"/>
    <col min="5" max="6" width="20.5703125" customWidth="1"/>
    <col min="7" max="7" width="17.42578125" customWidth="1"/>
  </cols>
  <sheetData>
    <row r="1" spans="1:7">
      <c r="A1" s="30" t="s">
        <v>51</v>
      </c>
      <c r="B1" s="31" t="s">
        <v>52</v>
      </c>
      <c r="C1" s="30" t="s">
        <v>53</v>
      </c>
      <c r="D1" s="30" t="s">
        <v>54</v>
      </c>
      <c r="E1" s="30" t="s">
        <v>55</v>
      </c>
      <c r="F1" s="30" t="s">
        <v>56</v>
      </c>
      <c r="G1" s="31" t="s">
        <v>57</v>
      </c>
    </row>
    <row r="2" spans="1:7">
      <c r="A2" s="32">
        <v>1</v>
      </c>
      <c r="B2" s="33" t="s">
        <v>58</v>
      </c>
      <c r="C2" s="34" t="s">
        <v>59</v>
      </c>
      <c r="D2" s="33" t="s">
        <v>60</v>
      </c>
      <c r="E2" s="35">
        <v>1.68</v>
      </c>
      <c r="F2" s="36">
        <v>7.77</v>
      </c>
      <c r="G2" s="37"/>
    </row>
    <row r="3" spans="1:7">
      <c r="A3" s="32">
        <v>2</v>
      </c>
      <c r="B3" s="38" t="s">
        <v>61</v>
      </c>
      <c r="C3" s="39" t="s">
        <v>59</v>
      </c>
      <c r="D3" s="38" t="s">
        <v>60</v>
      </c>
      <c r="E3" s="36">
        <v>1.72</v>
      </c>
      <c r="F3" s="36">
        <v>7.44</v>
      </c>
      <c r="G3" s="40"/>
    </row>
    <row r="4" spans="1:7">
      <c r="A4" s="32">
        <v>3</v>
      </c>
      <c r="B4" s="33" t="s">
        <v>62</v>
      </c>
      <c r="C4" s="39" t="s">
        <v>63</v>
      </c>
      <c r="D4" s="33" t="s">
        <v>64</v>
      </c>
      <c r="E4" s="35">
        <v>5.97</v>
      </c>
      <c r="F4" s="35">
        <v>13.64</v>
      </c>
      <c r="G4" s="40"/>
    </row>
    <row r="5" spans="1:7">
      <c r="A5" s="32">
        <v>4</v>
      </c>
      <c r="B5" s="33" t="s">
        <v>65</v>
      </c>
      <c r="C5" s="39" t="s">
        <v>66</v>
      </c>
      <c r="D5" s="38" t="s">
        <v>60</v>
      </c>
      <c r="E5" s="35">
        <v>1.61</v>
      </c>
      <c r="F5" s="36">
        <v>7.17</v>
      </c>
      <c r="G5" s="40"/>
    </row>
    <row r="6" spans="1:7">
      <c r="A6" s="32">
        <v>5</v>
      </c>
      <c r="B6" s="38" t="s">
        <v>67</v>
      </c>
      <c r="C6" s="41" t="s">
        <v>59</v>
      </c>
      <c r="D6" s="38" t="s">
        <v>60</v>
      </c>
      <c r="E6" s="36">
        <v>1.63</v>
      </c>
      <c r="F6" s="42">
        <v>6.75</v>
      </c>
      <c r="G6" s="40"/>
    </row>
    <row r="7" spans="1:7">
      <c r="A7" s="32">
        <v>6</v>
      </c>
      <c r="B7" s="38" t="s">
        <v>68</v>
      </c>
      <c r="C7" s="41" t="s">
        <v>59</v>
      </c>
      <c r="D7" s="38" t="s">
        <v>64</v>
      </c>
      <c r="E7" s="36">
        <v>3.25</v>
      </c>
      <c r="F7" s="36">
        <v>8.1300000000000008</v>
      </c>
      <c r="G7" s="40"/>
    </row>
    <row r="8" spans="1:7">
      <c r="A8" s="32">
        <v>7</v>
      </c>
      <c r="B8" s="33" t="s">
        <v>69</v>
      </c>
      <c r="C8" s="39" t="s">
        <v>63</v>
      </c>
      <c r="D8" s="37"/>
      <c r="E8" s="43"/>
      <c r="F8" s="43"/>
      <c r="G8" s="40"/>
    </row>
    <row r="9" spans="1:7">
      <c r="A9" s="32">
        <v>8</v>
      </c>
      <c r="B9" s="33" t="s">
        <v>70</v>
      </c>
      <c r="C9" s="41" t="s">
        <v>71</v>
      </c>
      <c r="D9" s="38" t="s">
        <v>64</v>
      </c>
      <c r="E9" s="36">
        <v>6.01</v>
      </c>
      <c r="F9" s="36">
        <v>25.6</v>
      </c>
      <c r="G9" s="40"/>
    </row>
    <row r="10" spans="1:7">
      <c r="A10" s="32">
        <v>9</v>
      </c>
      <c r="B10" s="38" t="s">
        <v>72</v>
      </c>
      <c r="C10" s="44"/>
      <c r="D10" s="37"/>
      <c r="E10" s="43"/>
      <c r="F10" s="43"/>
      <c r="G10" s="40"/>
    </row>
    <row r="11" spans="1:7">
      <c r="A11" s="32">
        <v>10</v>
      </c>
      <c r="B11" s="45" t="s">
        <v>73</v>
      </c>
      <c r="C11" s="46" t="s">
        <v>59</v>
      </c>
      <c r="D11" s="47" t="s">
        <v>60</v>
      </c>
      <c r="E11" s="48">
        <v>2.13</v>
      </c>
      <c r="F11" s="49">
        <v>8.6999999999999993</v>
      </c>
      <c r="G11" s="40"/>
    </row>
    <row r="12" spans="1:7">
      <c r="A12" s="32">
        <v>11</v>
      </c>
      <c r="B12" s="50"/>
      <c r="C12" s="51"/>
      <c r="D12" s="40"/>
      <c r="E12" s="40"/>
      <c r="F12" s="40"/>
      <c r="G12" s="40"/>
    </row>
    <row r="13" spans="1:7">
      <c r="A13" s="32">
        <v>12</v>
      </c>
      <c r="B13" s="40"/>
      <c r="C13" s="51"/>
      <c r="D13" s="40"/>
      <c r="E13" s="40"/>
      <c r="F13" s="40"/>
      <c r="G13" s="40"/>
    </row>
    <row r="14" spans="1:7">
      <c r="A14" s="32">
        <v>13</v>
      </c>
      <c r="B14" s="40"/>
      <c r="C14" s="51"/>
      <c r="D14" s="40"/>
      <c r="E14" s="40"/>
      <c r="F14" s="40"/>
      <c r="G14" s="40"/>
    </row>
    <row r="15" spans="1:7">
      <c r="A15" s="32">
        <v>14</v>
      </c>
      <c r="B15" s="40"/>
      <c r="C15" s="51"/>
      <c r="D15" s="40"/>
      <c r="E15" s="40"/>
      <c r="F15" s="40"/>
      <c r="G15" s="40"/>
    </row>
    <row r="16" spans="1:7">
      <c r="A16" s="32">
        <v>15</v>
      </c>
      <c r="B16" s="40"/>
      <c r="C16" s="51"/>
      <c r="D16" s="40"/>
      <c r="E16" s="40"/>
      <c r="F16" s="40"/>
      <c r="G16" s="40"/>
    </row>
    <row r="17" spans="1:7">
      <c r="A17" s="32">
        <v>17</v>
      </c>
      <c r="B17" s="40"/>
      <c r="C17" s="51"/>
      <c r="D17" s="40"/>
      <c r="E17" s="40"/>
      <c r="F17" s="40"/>
      <c r="G17" s="40"/>
    </row>
    <row r="18" spans="1:7">
      <c r="A18" s="32">
        <v>18</v>
      </c>
      <c r="B18" s="40"/>
      <c r="C18" s="51"/>
      <c r="D18" s="40"/>
      <c r="E18" s="40"/>
      <c r="F18" s="40"/>
      <c r="G18" s="40"/>
    </row>
    <row r="19" spans="1:7">
      <c r="A19" s="32">
        <v>19</v>
      </c>
      <c r="B19" s="40"/>
      <c r="C19" s="51"/>
      <c r="D19" s="40"/>
      <c r="E19" s="40"/>
      <c r="F19" s="40"/>
      <c r="G19" s="40"/>
    </row>
    <row r="20" spans="1:7">
      <c r="A20" s="32">
        <v>20</v>
      </c>
      <c r="B20" s="40"/>
      <c r="C20" s="51"/>
      <c r="D20" s="40"/>
      <c r="E20" s="40"/>
      <c r="F20" s="40"/>
      <c r="G20" s="40"/>
    </row>
    <row r="21" spans="1:7">
      <c r="A21" s="32">
        <v>21</v>
      </c>
      <c r="B21" s="40"/>
      <c r="C21" s="51"/>
      <c r="D21" s="40"/>
      <c r="E21" s="40"/>
      <c r="F21" s="40"/>
      <c r="G21" s="40"/>
    </row>
    <row r="22" spans="1:7">
      <c r="A22" s="32">
        <v>22</v>
      </c>
      <c r="B22" s="40"/>
      <c r="C22" s="51"/>
      <c r="D22" s="40"/>
      <c r="E22" s="40"/>
      <c r="F22" s="40"/>
      <c r="G22" s="40"/>
    </row>
    <row r="23" spans="1:7">
      <c r="A23" s="32">
        <v>23</v>
      </c>
      <c r="B23" s="40"/>
      <c r="C23" s="51"/>
      <c r="D23" s="40"/>
      <c r="E23" s="40"/>
      <c r="F23" s="40"/>
      <c r="G23" s="40"/>
    </row>
    <row r="24" spans="1:7">
      <c r="A24" s="32">
        <v>24</v>
      </c>
      <c r="B24" s="40"/>
      <c r="C24" s="51"/>
      <c r="D24" s="40"/>
      <c r="E24" s="40"/>
      <c r="F24" s="40"/>
      <c r="G24" s="40"/>
    </row>
    <row r="25" spans="1:7">
      <c r="A25" s="32">
        <v>25</v>
      </c>
      <c r="B25" s="40"/>
      <c r="C25" s="51"/>
      <c r="D25" s="40"/>
      <c r="E25" s="40"/>
      <c r="F25" s="40"/>
      <c r="G25" s="40"/>
    </row>
    <row r="26" spans="1:7">
      <c r="A26" s="32">
        <v>26</v>
      </c>
      <c r="B26" s="40"/>
      <c r="C26" s="51"/>
      <c r="D26" s="40"/>
      <c r="E26" s="40"/>
      <c r="F26" s="40"/>
      <c r="G26" s="40"/>
    </row>
    <row r="27" spans="1:7">
      <c r="A27" s="32">
        <v>27</v>
      </c>
      <c r="B27" s="40"/>
      <c r="C27" s="51"/>
      <c r="D27" s="40"/>
      <c r="E27" s="40"/>
      <c r="F27" s="40"/>
      <c r="G27" s="40"/>
    </row>
    <row r="28" spans="1:7">
      <c r="A28" s="32">
        <v>28</v>
      </c>
      <c r="B28" s="40"/>
      <c r="C28" s="51"/>
      <c r="D28" s="40"/>
      <c r="E28" s="40"/>
      <c r="F28" s="40"/>
      <c r="G28" s="40"/>
    </row>
    <row r="29" spans="1:7">
      <c r="A29" s="32">
        <v>29</v>
      </c>
      <c r="B29" s="40"/>
      <c r="C29" s="51"/>
      <c r="D29" s="40"/>
      <c r="E29" s="40"/>
      <c r="F29" s="40"/>
      <c r="G29" s="40"/>
    </row>
    <row r="30" spans="1:7">
      <c r="A30" s="32">
        <v>30</v>
      </c>
      <c r="B30" s="40"/>
      <c r="C30" s="51"/>
      <c r="D30" s="40"/>
      <c r="E30" s="40"/>
      <c r="F30" s="40"/>
      <c r="G30" s="40"/>
    </row>
    <row r="31" spans="1:7">
      <c r="A31" s="32">
        <v>31</v>
      </c>
      <c r="B31" s="40"/>
      <c r="C31" s="51"/>
      <c r="D31" s="40"/>
      <c r="E31" s="40"/>
      <c r="F31" s="40"/>
      <c r="G31" s="40"/>
    </row>
    <row r="32" spans="1:7">
      <c r="A32" s="32">
        <v>32</v>
      </c>
      <c r="B32" s="40"/>
      <c r="C32" s="51"/>
      <c r="D32" s="40"/>
      <c r="E32" s="40"/>
      <c r="F32" s="40"/>
      <c r="G32" s="40"/>
    </row>
    <row r="33" spans="1:7">
      <c r="A33" s="32">
        <v>33</v>
      </c>
      <c r="B33" s="40"/>
      <c r="C33" s="51"/>
      <c r="D33" s="40"/>
      <c r="E33" s="40"/>
      <c r="F33" s="40"/>
      <c r="G33" s="40"/>
    </row>
    <row r="34" spans="1:7">
      <c r="A34" s="32">
        <v>34</v>
      </c>
      <c r="B34" s="40"/>
      <c r="C34" s="51"/>
      <c r="D34" s="40"/>
      <c r="E34" s="40"/>
      <c r="F34" s="40"/>
      <c r="G34" s="40"/>
    </row>
    <row r="35" spans="1:7">
      <c r="A35" s="32">
        <v>35</v>
      </c>
      <c r="B35" s="40"/>
      <c r="C35" s="51"/>
      <c r="D35" s="40"/>
      <c r="E35" s="40"/>
      <c r="F35" s="40"/>
      <c r="G35" s="40"/>
    </row>
    <row r="36" spans="1:7">
      <c r="A36" s="32">
        <v>36</v>
      </c>
      <c r="B36" s="40"/>
      <c r="C36" s="51"/>
      <c r="D36" s="40"/>
      <c r="E36" s="40"/>
      <c r="F36" s="40"/>
      <c r="G36" s="40"/>
    </row>
    <row r="37" spans="1:7">
      <c r="A37" s="32">
        <v>37</v>
      </c>
      <c r="B37" s="40"/>
      <c r="C37" s="51"/>
      <c r="D37" s="40"/>
      <c r="E37" s="40"/>
      <c r="F37" s="40"/>
      <c r="G37" s="40"/>
    </row>
    <row r="38" spans="1:7">
      <c r="A38" s="32">
        <v>38</v>
      </c>
      <c r="B38" s="40"/>
      <c r="C38" s="51"/>
      <c r="D38" s="40"/>
      <c r="E38" s="40"/>
      <c r="F38" s="40"/>
      <c r="G38" s="40"/>
    </row>
    <row r="39" spans="1:7">
      <c r="A39" s="32">
        <v>39</v>
      </c>
      <c r="B39" s="40"/>
      <c r="C39" s="51"/>
      <c r="D39" s="40"/>
      <c r="E39" s="40"/>
      <c r="F39" s="40"/>
      <c r="G39" s="40"/>
    </row>
    <row r="40" spans="1:7">
      <c r="A40" s="32">
        <v>40</v>
      </c>
      <c r="B40" s="40"/>
      <c r="C40" s="51"/>
      <c r="D40" s="40"/>
      <c r="E40" s="40"/>
      <c r="F40" s="40"/>
      <c r="G40" s="40"/>
    </row>
    <row r="41" spans="1:7">
      <c r="A41" s="32">
        <v>41</v>
      </c>
      <c r="B41" s="40"/>
      <c r="C41" s="51"/>
      <c r="D41" s="40"/>
      <c r="E41" s="40"/>
      <c r="F41" s="40"/>
      <c r="G41" s="40"/>
    </row>
    <row r="42" spans="1:7">
      <c r="A42" s="32">
        <v>42</v>
      </c>
      <c r="B42" s="40"/>
      <c r="C42" s="51"/>
      <c r="D42" s="40"/>
      <c r="E42" s="40"/>
      <c r="F42" s="40"/>
      <c r="G42" s="40"/>
    </row>
    <row r="43" spans="1:7">
      <c r="A43" s="32">
        <v>43</v>
      </c>
      <c r="B43" s="40"/>
      <c r="C43" s="51"/>
      <c r="D43" s="40"/>
      <c r="E43" s="40"/>
      <c r="F43" s="40"/>
      <c r="G43" s="40"/>
    </row>
    <row r="44" spans="1:7">
      <c r="A44" s="32">
        <v>44</v>
      </c>
      <c r="B44" s="40"/>
      <c r="C44" s="51"/>
      <c r="D44" s="40"/>
      <c r="E44" s="40"/>
      <c r="F44" s="40"/>
      <c r="G44" s="40"/>
    </row>
    <row r="45" spans="1:7">
      <c r="A45" s="32">
        <v>45</v>
      </c>
      <c r="B45" s="40"/>
      <c r="C45" s="51"/>
      <c r="D45" s="40"/>
      <c r="E45" s="40"/>
      <c r="F45" s="40"/>
      <c r="G45" s="40"/>
    </row>
    <row r="46" spans="1:7">
      <c r="A46" s="32">
        <v>46</v>
      </c>
      <c r="B46" s="40"/>
      <c r="C46" s="51"/>
      <c r="D46" s="40"/>
      <c r="E46" s="40"/>
      <c r="F46" s="40"/>
      <c r="G46" s="40"/>
    </row>
    <row r="47" spans="1:7">
      <c r="A47" s="32">
        <v>47</v>
      </c>
      <c r="B47" s="40"/>
      <c r="C47" s="51"/>
      <c r="D47" s="40"/>
      <c r="E47" s="40"/>
      <c r="F47" s="40"/>
      <c r="G47" s="40"/>
    </row>
    <row r="48" spans="1:7">
      <c r="A48" s="32">
        <v>48</v>
      </c>
      <c r="B48" s="40"/>
      <c r="C48" s="51"/>
      <c r="D48" s="40"/>
      <c r="E48" s="40"/>
      <c r="F48" s="40"/>
      <c r="G48" s="40"/>
    </row>
    <row r="49" spans="1:7">
      <c r="A49" s="32">
        <v>49</v>
      </c>
      <c r="B49" s="40"/>
      <c r="C49" s="51"/>
      <c r="D49" s="40"/>
      <c r="E49" s="40"/>
      <c r="F49" s="40"/>
      <c r="G49" s="40"/>
    </row>
    <row r="50" spans="1:7">
      <c r="A50" s="32">
        <v>50</v>
      </c>
      <c r="B50" s="40"/>
      <c r="C50" s="51"/>
      <c r="D50" s="40"/>
      <c r="E50" s="40"/>
      <c r="F50" s="40"/>
      <c r="G50" s="40"/>
    </row>
    <row r="51" spans="1:7">
      <c r="A51" s="32">
        <v>51</v>
      </c>
      <c r="B51" s="40"/>
      <c r="C51" s="51"/>
      <c r="D51" s="40"/>
      <c r="E51" s="40"/>
      <c r="F51" s="40"/>
      <c r="G51" s="40"/>
    </row>
    <row r="52" spans="1:7">
      <c r="A52" s="32">
        <v>52</v>
      </c>
      <c r="B52" s="40"/>
      <c r="C52" s="51"/>
      <c r="D52" s="40"/>
      <c r="E52" s="40"/>
      <c r="F52" s="40"/>
      <c r="G52" s="40"/>
    </row>
    <row r="53" spans="1:7">
      <c r="C53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249B-E11D-4A32-8AB6-46232F9D0CC4}">
  <dimension ref="A1:Z864"/>
  <sheetViews>
    <sheetView showGridLines="0" tabSelected="1" topLeftCell="A18" zoomScale="85" zoomScaleNormal="85" workbookViewId="0">
      <selection activeCell="I39" sqref="I39"/>
    </sheetView>
  </sheetViews>
  <sheetFormatPr defaultColWidth="14.42578125" defaultRowHeight="15" customHeight="1"/>
  <cols>
    <col min="1" max="1" width="1.7109375" customWidth="1"/>
    <col min="2" max="2" width="18" customWidth="1"/>
    <col min="3" max="3" width="20" customWidth="1"/>
    <col min="4" max="4" width="97" customWidth="1"/>
    <col min="5" max="5" width="23.140625" customWidth="1"/>
    <col min="6" max="6" width="16.140625" customWidth="1"/>
    <col min="7" max="8" width="9.140625" customWidth="1"/>
    <col min="9" max="9" width="40" customWidth="1"/>
    <col min="10" max="26" width="9.140625" customWidth="1"/>
  </cols>
  <sheetData>
    <row r="1" spans="1:26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>
      <c r="A3" s="1"/>
      <c r="B3" s="2"/>
      <c r="C3" s="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thickBot="1">
      <c r="A6" s="1"/>
      <c r="B6" s="4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>
      <c r="A7" s="1"/>
      <c r="B7" s="2"/>
      <c r="C7" s="5" t="s">
        <v>1</v>
      </c>
      <c r="D7" s="6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>
      <c r="A8" s="1"/>
      <c r="B8" s="2"/>
      <c r="C8" s="8"/>
      <c r="D8" s="9" t="str">
        <f>D20&amp;" "&amp;"|"&amp;" "&amp;D21&amp;" "&amp;"|"&amp;" "&amp;D23</f>
        <v xml:space="preserve"> Top Medical Service in USA | Affordable Healthcare USA | Local Healthcare Services</v>
      </c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6.5" customHeight="1">
      <c r="A9" s="1"/>
      <c r="B9" s="2"/>
      <c r="C9" s="8"/>
      <c r="D9" s="11" t="e">
        <f>#REF!&amp;" "&amp;D40</f>
        <v>#REF!</v>
      </c>
      <c r="E9" s="12">
        <f>D53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2"/>
      <c r="C10" s="8"/>
      <c r="D10" s="13" t="str">
        <f>D41&amp;"/"&amp;D36&amp;"/"&amp;D37</f>
        <v>/Expert medical center near you. Clear results, fast delivery of care. Registration today./Top-rated medical care in USA. Get 20% off today. Quick results &amp; expert care. Book now!</v>
      </c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"/>
      <c r="C11" s="8"/>
      <c r="D11" s="14" t="str">
        <f>D49&amp;" "&amp;"|"&amp;" "&amp;D50&amp;" "&amp;"|"&amp;" "&amp;D51&amp;" "&amp;"|"&amp;" "&amp;D52</f>
        <v xml:space="preserve"> |  |  | 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2"/>
      <c r="C12" s="8"/>
      <c r="D12" s="15" t="str">
        <f>D45&amp;"                                                                 "&amp;D46</f>
        <v xml:space="preserve">                                                                 </v>
      </c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"/>
      <c r="C13" s="8"/>
      <c r="D13" s="15" t="str">
        <f>D47&amp;"                                                                         "&amp;D48</f>
        <v xml:space="preserve">                                                                         </v>
      </c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2"/>
      <c r="C14" s="8"/>
      <c r="D14" s="13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"/>
      <c r="C15" s="8"/>
      <c r="D15" s="13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2"/>
      <c r="C16" s="16"/>
      <c r="D16" s="17"/>
      <c r="E16" s="1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>
      <c r="A18" s="1"/>
      <c r="B18" s="4" t="s">
        <v>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/>
      <c r="B19" s="2"/>
      <c r="C19" s="19" t="s">
        <v>3</v>
      </c>
      <c r="D19" s="19" t="s">
        <v>4</v>
      </c>
      <c r="E19" s="20" t="s">
        <v>5</v>
      </c>
      <c r="F19" s="20" t="s">
        <v>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2"/>
      <c r="C20" s="19" t="s">
        <v>7</v>
      </c>
      <c r="D20" t="s">
        <v>74</v>
      </c>
      <c r="E20" s="22">
        <f t="shared" ref="E20:E35" si="0">LEN(D20)</f>
        <v>27</v>
      </c>
      <c r="F20" s="22">
        <v>30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2"/>
      <c r="C21" s="19" t="s">
        <v>9</v>
      </c>
      <c r="D21" t="s">
        <v>75</v>
      </c>
      <c r="E21" s="22">
        <f t="shared" si="0"/>
        <v>25</v>
      </c>
      <c r="F21" s="22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2"/>
      <c r="C22" s="19" t="s">
        <v>11</v>
      </c>
      <c r="D22" t="s">
        <v>76</v>
      </c>
      <c r="E22" s="22">
        <f t="shared" si="0"/>
        <v>24</v>
      </c>
      <c r="F22" s="22">
        <v>30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2"/>
      <c r="C23" s="19" t="s">
        <v>13</v>
      </c>
      <c r="D23" t="s">
        <v>77</v>
      </c>
      <c r="E23" s="22">
        <f t="shared" si="0"/>
        <v>25</v>
      </c>
      <c r="F23" s="22">
        <v>30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2"/>
      <c r="C24" s="19" t="s">
        <v>15</v>
      </c>
      <c r="D24" t="s">
        <v>78</v>
      </c>
      <c r="E24" s="22">
        <f t="shared" si="0"/>
        <v>24</v>
      </c>
      <c r="F24" s="22">
        <v>30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2"/>
      <c r="C25" s="19" t="s">
        <v>17</v>
      </c>
      <c r="D25" t="s">
        <v>79</v>
      </c>
      <c r="E25" s="22">
        <f t="shared" si="0"/>
        <v>28</v>
      </c>
      <c r="F25" s="22">
        <v>30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2"/>
      <c r="C26" s="19" t="s">
        <v>19</v>
      </c>
      <c r="D26" t="s">
        <v>80</v>
      </c>
      <c r="E26" s="22">
        <f t="shared" si="0"/>
        <v>24</v>
      </c>
      <c r="F26" s="22">
        <v>30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2"/>
      <c r="C27" s="19" t="s">
        <v>21</v>
      </c>
      <c r="D27" t="s">
        <v>81</v>
      </c>
      <c r="E27" s="22">
        <f t="shared" si="0"/>
        <v>26</v>
      </c>
      <c r="F27" s="22">
        <v>30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2"/>
      <c r="C28" s="19" t="s">
        <v>23</v>
      </c>
      <c r="D28" t="s">
        <v>82</v>
      </c>
      <c r="E28" s="22">
        <f t="shared" si="0"/>
        <v>23</v>
      </c>
      <c r="F28" s="22">
        <v>30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2"/>
      <c r="C29" s="19" t="s">
        <v>25</v>
      </c>
      <c r="D29" t="s">
        <v>83</v>
      </c>
      <c r="E29" s="22">
        <f t="shared" si="0"/>
        <v>24</v>
      </c>
      <c r="F29" s="22">
        <v>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2"/>
      <c r="C30" s="19" t="s">
        <v>26</v>
      </c>
      <c r="D30" t="s">
        <v>84</v>
      </c>
      <c r="E30" s="22">
        <f t="shared" si="0"/>
        <v>25</v>
      </c>
      <c r="F30" s="22">
        <v>30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2"/>
      <c r="C31" s="19" t="s">
        <v>27</v>
      </c>
      <c r="D31" t="s">
        <v>85</v>
      </c>
      <c r="E31" s="22">
        <f t="shared" si="0"/>
        <v>26</v>
      </c>
      <c r="F31" s="22">
        <v>30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2"/>
      <c r="C32" s="19" t="s">
        <v>28</v>
      </c>
      <c r="D32" t="s">
        <v>86</v>
      </c>
      <c r="E32" s="22">
        <f t="shared" si="0"/>
        <v>23</v>
      </c>
      <c r="F32" s="22">
        <v>30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2"/>
      <c r="C33" s="19" t="s">
        <v>29</v>
      </c>
      <c r="D33" t="s">
        <v>87</v>
      </c>
      <c r="E33" s="22">
        <f t="shared" si="0"/>
        <v>27</v>
      </c>
      <c r="F33" s="22">
        <v>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2"/>
      <c r="C34" s="19" t="s">
        <v>30</v>
      </c>
      <c r="D34" t="s">
        <v>88</v>
      </c>
      <c r="E34" s="22">
        <f t="shared" si="0"/>
        <v>26</v>
      </c>
      <c r="F34" s="22">
        <v>30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.75" customHeight="1">
      <c r="A35" s="1"/>
      <c r="B35" s="2"/>
      <c r="C35" s="19" t="s">
        <v>31</v>
      </c>
      <c r="D35" t="s">
        <v>89</v>
      </c>
      <c r="E35" s="22">
        <f t="shared" si="0"/>
        <v>78</v>
      </c>
      <c r="F35" s="22">
        <v>90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.75" customHeight="1">
      <c r="A36" s="1"/>
      <c r="B36" s="2"/>
      <c r="C36" s="19" t="s">
        <v>33</v>
      </c>
      <c r="D36" t="s">
        <v>90</v>
      </c>
      <c r="E36" s="22" t="e">
        <f t="shared" ref="E36:E37" si="1">LEN(#REF!)</f>
        <v>#REF!</v>
      </c>
      <c r="F36" s="22">
        <v>90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.75" customHeight="1">
      <c r="A37" s="1"/>
      <c r="B37" s="2"/>
      <c r="C37" s="19" t="s">
        <v>35</v>
      </c>
      <c r="D37" t="s">
        <v>91</v>
      </c>
      <c r="E37" s="22" t="e">
        <f t="shared" si="1"/>
        <v>#REF!</v>
      </c>
      <c r="F37" s="22">
        <v>90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.25" customHeight="1">
      <c r="A38" s="1"/>
      <c r="B38" s="2"/>
      <c r="C38" s="19"/>
      <c r="D38" s="24"/>
      <c r="E38" s="22"/>
      <c r="F38" s="2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.25" customHeight="1">
      <c r="A39" s="1"/>
      <c r="B39" s="2"/>
      <c r="C39" s="19"/>
      <c r="D39" s="24"/>
      <c r="E39" s="22"/>
      <c r="F39" s="2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.75" customHeight="1">
      <c r="A40" s="1"/>
      <c r="B40" s="2"/>
      <c r="C40" s="19" t="s">
        <v>36</v>
      </c>
      <c r="D40" t="s">
        <v>92</v>
      </c>
      <c r="E40" s="22">
        <f>LEN(D40)</f>
        <v>89</v>
      </c>
      <c r="F40" s="22">
        <v>90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2"/>
      <c r="C41" s="19" t="s">
        <v>37</v>
      </c>
      <c r="D41" s="25"/>
      <c r="E41" s="22"/>
      <c r="F41" s="2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2"/>
      <c r="C42" s="19" t="s">
        <v>38</v>
      </c>
      <c r="E42" s="22">
        <f t="shared" ref="E42:E43" si="2">LEN(D36)</f>
        <v>89</v>
      </c>
      <c r="F42" s="22">
        <v>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2"/>
      <c r="C43" s="19" t="s">
        <v>39</v>
      </c>
      <c r="E43" s="22">
        <f t="shared" si="2"/>
        <v>88</v>
      </c>
      <c r="F43" s="22">
        <v>15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2"/>
      <c r="C44" s="19" t="s">
        <v>40</v>
      </c>
      <c r="D44" s="26"/>
      <c r="E44" s="22"/>
      <c r="F44" s="2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2"/>
      <c r="C45" s="19" t="s">
        <v>41</v>
      </c>
      <c r="D45" s="1"/>
      <c r="E45" s="22">
        <f t="shared" ref="E45:E51" si="3">LEN(D45)</f>
        <v>0</v>
      </c>
      <c r="F45" s="22">
        <v>25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2"/>
      <c r="C46" s="19" t="s">
        <v>42</v>
      </c>
      <c r="D46" s="1"/>
      <c r="E46" s="22">
        <f t="shared" si="3"/>
        <v>0</v>
      </c>
      <c r="F46" s="22">
        <v>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2"/>
      <c r="C47" s="19" t="s">
        <v>43</v>
      </c>
      <c r="D47" s="1"/>
      <c r="E47" s="22">
        <f t="shared" si="3"/>
        <v>0</v>
      </c>
      <c r="F47" s="22">
        <v>25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2"/>
      <c r="C48" s="19" t="s">
        <v>44</v>
      </c>
      <c r="D48" s="1"/>
      <c r="E48" s="22">
        <f t="shared" si="3"/>
        <v>0</v>
      </c>
      <c r="F48" s="22">
        <v>25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2"/>
      <c r="C49" s="19" t="s">
        <v>45</v>
      </c>
      <c r="D49" s="1"/>
      <c r="E49" s="22">
        <f t="shared" si="3"/>
        <v>0</v>
      </c>
      <c r="F49" s="22">
        <v>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2"/>
      <c r="C50" s="19" t="s">
        <v>46</v>
      </c>
      <c r="D50" s="1"/>
      <c r="E50" s="22">
        <f t="shared" si="3"/>
        <v>0</v>
      </c>
      <c r="F50" s="22">
        <v>25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2"/>
      <c r="C51" s="19" t="s">
        <v>47</v>
      </c>
      <c r="D51" s="1"/>
      <c r="E51" s="22">
        <f t="shared" si="3"/>
        <v>0</v>
      </c>
      <c r="F51" s="22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2"/>
      <c r="C52" s="19" t="s">
        <v>48</v>
      </c>
      <c r="D52" s="1"/>
      <c r="E52" s="22"/>
      <c r="F52" s="2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2"/>
      <c r="C53" s="19" t="s">
        <v>49</v>
      </c>
      <c r="D53" s="27"/>
      <c r="E53" s="22"/>
      <c r="F53" s="2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"/>
      <c r="C55" s="1"/>
      <c r="D55" s="19" t="s">
        <v>50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</sheetData>
  <conditionalFormatting sqref="E20:E21">
    <cfRule type="cellIs" dxfId="75" priority="1" operator="lessThan">
      <formula>31</formula>
    </cfRule>
  </conditionalFormatting>
  <conditionalFormatting sqref="E20:E21">
    <cfRule type="cellIs" dxfId="74" priority="2" operator="greaterThan">
      <formula>30</formula>
    </cfRule>
  </conditionalFormatting>
  <conditionalFormatting sqref="E42:E43">
    <cfRule type="cellIs" dxfId="73" priority="3" operator="lessThan">
      <formula>16</formula>
    </cfRule>
  </conditionalFormatting>
  <conditionalFormatting sqref="E42:E43">
    <cfRule type="cellIs" dxfId="72" priority="4" operator="greaterThan">
      <formula>15</formula>
    </cfRule>
  </conditionalFormatting>
  <conditionalFormatting sqref="E23">
    <cfRule type="cellIs" dxfId="71" priority="5" operator="lessThan">
      <formula>31</formula>
    </cfRule>
  </conditionalFormatting>
  <conditionalFormatting sqref="E23">
    <cfRule type="cellIs" dxfId="70" priority="6" operator="greaterThan">
      <formula>30</formula>
    </cfRule>
  </conditionalFormatting>
  <conditionalFormatting sqref="E37:E39">
    <cfRule type="cellIs" dxfId="69" priority="7" operator="lessThan">
      <formula>81</formula>
    </cfRule>
  </conditionalFormatting>
  <conditionalFormatting sqref="E37:E39">
    <cfRule type="cellIs" dxfId="68" priority="8" operator="greaterThan">
      <formula>80</formula>
    </cfRule>
  </conditionalFormatting>
  <conditionalFormatting sqref="E40">
    <cfRule type="cellIs" dxfId="67" priority="9" operator="greaterThan">
      <formula>91</formula>
    </cfRule>
  </conditionalFormatting>
  <conditionalFormatting sqref="E40">
    <cfRule type="cellIs" dxfId="66" priority="10" operator="lessThan">
      <formula>81</formula>
    </cfRule>
  </conditionalFormatting>
  <conditionalFormatting sqref="E40">
    <cfRule type="cellIs" dxfId="65" priority="11" operator="greaterThan">
      <formula>80</formula>
    </cfRule>
  </conditionalFormatting>
  <conditionalFormatting sqref="E37:E40">
    <cfRule type="cellIs" dxfId="64" priority="12" operator="lessThan">
      <formula>91</formula>
    </cfRule>
  </conditionalFormatting>
  <conditionalFormatting sqref="E37:E40">
    <cfRule type="cellIs" dxfId="63" priority="13" operator="greaterThan">
      <formula>91</formula>
    </cfRule>
  </conditionalFormatting>
  <conditionalFormatting sqref="E37:E40">
    <cfRule type="cellIs" dxfId="62" priority="14" operator="lessThan">
      <formula>90</formula>
    </cfRule>
  </conditionalFormatting>
  <conditionalFormatting sqref="E37:E40">
    <cfRule type="cellIs" dxfId="61" priority="15" operator="greaterThan">
      <formula>90</formula>
    </cfRule>
  </conditionalFormatting>
  <conditionalFormatting sqref="E37">
    <cfRule type="cellIs" dxfId="60" priority="16" operator="lessThan">
      <formula>91</formula>
    </cfRule>
  </conditionalFormatting>
  <conditionalFormatting sqref="E37">
    <cfRule type="cellIs" dxfId="59" priority="17" operator="greaterThan">
      <formula>91</formula>
    </cfRule>
  </conditionalFormatting>
  <conditionalFormatting sqref="E37">
    <cfRule type="cellIs" dxfId="58" priority="18" operator="greaterThan">
      <formula>91</formula>
    </cfRule>
  </conditionalFormatting>
  <conditionalFormatting sqref="E48">
    <cfRule type="cellIs" dxfId="57" priority="19" operator="lessThan">
      <formula>16</formula>
    </cfRule>
  </conditionalFormatting>
  <conditionalFormatting sqref="E48">
    <cfRule type="cellIs" dxfId="56" priority="20" operator="greaterThan">
      <formula>15</formula>
    </cfRule>
  </conditionalFormatting>
  <conditionalFormatting sqref="E49">
    <cfRule type="cellIs" dxfId="55" priority="21" operator="lessThan">
      <formula>16</formula>
    </cfRule>
  </conditionalFormatting>
  <conditionalFormatting sqref="E49">
    <cfRule type="cellIs" dxfId="54" priority="22" operator="greaterThan">
      <formula>15</formula>
    </cfRule>
  </conditionalFormatting>
  <conditionalFormatting sqref="E50">
    <cfRule type="cellIs" dxfId="53" priority="23" operator="lessThan">
      <formula>16</formula>
    </cfRule>
  </conditionalFormatting>
  <conditionalFormatting sqref="E50">
    <cfRule type="cellIs" dxfId="52" priority="24" operator="greaterThan">
      <formula>15</formula>
    </cfRule>
  </conditionalFormatting>
  <conditionalFormatting sqref="E51">
    <cfRule type="cellIs" dxfId="51" priority="25" operator="lessThan">
      <formula>16</formula>
    </cfRule>
  </conditionalFormatting>
  <conditionalFormatting sqref="E51">
    <cfRule type="cellIs" dxfId="50" priority="26" operator="greaterThan">
      <formula>15</formula>
    </cfRule>
  </conditionalFormatting>
  <conditionalFormatting sqref="E45">
    <cfRule type="cellIs" dxfId="49" priority="27" operator="lessThan">
      <formula>16</formula>
    </cfRule>
  </conditionalFormatting>
  <conditionalFormatting sqref="E45">
    <cfRule type="cellIs" dxfId="48" priority="28" operator="greaterThan">
      <formula>15</formula>
    </cfRule>
  </conditionalFormatting>
  <conditionalFormatting sqref="E46">
    <cfRule type="cellIs" dxfId="47" priority="29" operator="lessThan">
      <formula>16</formula>
    </cfRule>
  </conditionalFormatting>
  <conditionalFormatting sqref="E46">
    <cfRule type="cellIs" dxfId="46" priority="30" operator="greaterThan">
      <formula>15</formula>
    </cfRule>
  </conditionalFormatting>
  <conditionalFormatting sqref="E47">
    <cfRule type="cellIs" dxfId="45" priority="31" operator="lessThan">
      <formula>16</formula>
    </cfRule>
  </conditionalFormatting>
  <conditionalFormatting sqref="E47">
    <cfRule type="cellIs" dxfId="44" priority="32" operator="greaterThan">
      <formula>15</formula>
    </cfRule>
  </conditionalFormatting>
  <conditionalFormatting sqref="E45:E48">
    <cfRule type="cellIs" dxfId="43" priority="33" operator="lessThan">
      <formula>26</formula>
    </cfRule>
  </conditionalFormatting>
  <conditionalFormatting sqref="E45:E48">
    <cfRule type="cellIs" dxfId="42" priority="34" operator="greaterThan">
      <formula>26</formula>
    </cfRule>
  </conditionalFormatting>
  <conditionalFormatting sqref="E22">
    <cfRule type="cellIs" dxfId="41" priority="35" operator="lessThan">
      <formula>31</formula>
    </cfRule>
  </conditionalFormatting>
  <conditionalFormatting sqref="E22">
    <cfRule type="cellIs" dxfId="40" priority="36" operator="greaterThan">
      <formula>30</formula>
    </cfRule>
  </conditionalFormatting>
  <conditionalFormatting sqref="E34">
    <cfRule type="cellIs" dxfId="39" priority="37" operator="lessThan">
      <formula>31</formula>
    </cfRule>
  </conditionalFormatting>
  <conditionalFormatting sqref="E34">
    <cfRule type="cellIs" dxfId="38" priority="38" operator="greaterThan">
      <formula>30</formula>
    </cfRule>
  </conditionalFormatting>
  <conditionalFormatting sqref="E36">
    <cfRule type="cellIs" dxfId="37" priority="39" operator="lessThan">
      <formula>81</formula>
    </cfRule>
  </conditionalFormatting>
  <conditionalFormatting sqref="E36">
    <cfRule type="cellIs" dxfId="36" priority="40" operator="greaterThan">
      <formula>80</formula>
    </cfRule>
  </conditionalFormatting>
  <conditionalFormatting sqref="E36">
    <cfRule type="cellIs" dxfId="35" priority="41" operator="lessThan">
      <formula>91</formula>
    </cfRule>
  </conditionalFormatting>
  <conditionalFormatting sqref="E36">
    <cfRule type="cellIs" dxfId="34" priority="42" operator="greaterThan">
      <formula>91</formula>
    </cfRule>
  </conditionalFormatting>
  <conditionalFormatting sqref="E36">
    <cfRule type="cellIs" dxfId="33" priority="43" operator="lessThan">
      <formula>90</formula>
    </cfRule>
  </conditionalFormatting>
  <conditionalFormatting sqref="E36">
    <cfRule type="cellIs" dxfId="32" priority="44" operator="greaterThan">
      <formula>90</formula>
    </cfRule>
  </conditionalFormatting>
  <conditionalFormatting sqref="E36">
    <cfRule type="cellIs" dxfId="31" priority="45" operator="lessThan">
      <formula>91</formula>
    </cfRule>
  </conditionalFormatting>
  <conditionalFormatting sqref="E36">
    <cfRule type="cellIs" dxfId="30" priority="46" operator="greaterThan">
      <formula>91</formula>
    </cfRule>
  </conditionalFormatting>
  <conditionalFormatting sqref="E36">
    <cfRule type="cellIs" dxfId="29" priority="47" operator="greaterThan">
      <formula>91</formula>
    </cfRule>
  </conditionalFormatting>
  <conditionalFormatting sqref="E35">
    <cfRule type="cellIs" dxfId="28" priority="48" operator="lessThan">
      <formula>81</formula>
    </cfRule>
  </conditionalFormatting>
  <conditionalFormatting sqref="E35">
    <cfRule type="cellIs" dxfId="27" priority="49" operator="greaterThan">
      <formula>80</formula>
    </cfRule>
  </conditionalFormatting>
  <conditionalFormatting sqref="E35">
    <cfRule type="cellIs" dxfId="26" priority="50" operator="lessThan">
      <formula>91</formula>
    </cfRule>
  </conditionalFormatting>
  <conditionalFormatting sqref="E35">
    <cfRule type="cellIs" dxfId="25" priority="51" operator="greaterThan">
      <formula>91</formula>
    </cfRule>
  </conditionalFormatting>
  <conditionalFormatting sqref="E35">
    <cfRule type="cellIs" dxfId="24" priority="52" operator="lessThan">
      <formula>90</formula>
    </cfRule>
  </conditionalFormatting>
  <conditionalFormatting sqref="E35">
    <cfRule type="cellIs" dxfId="23" priority="53" operator="greaterThan">
      <formula>90</formula>
    </cfRule>
  </conditionalFormatting>
  <conditionalFormatting sqref="E35">
    <cfRule type="cellIs" dxfId="22" priority="54" operator="lessThan">
      <formula>91</formula>
    </cfRule>
  </conditionalFormatting>
  <conditionalFormatting sqref="E35">
    <cfRule type="cellIs" dxfId="21" priority="55" operator="greaterThan">
      <formula>91</formula>
    </cfRule>
  </conditionalFormatting>
  <conditionalFormatting sqref="E35">
    <cfRule type="cellIs" dxfId="20" priority="56" operator="greaterThan">
      <formula>91</formula>
    </cfRule>
  </conditionalFormatting>
  <conditionalFormatting sqref="E24">
    <cfRule type="cellIs" dxfId="19" priority="57" operator="lessThan">
      <formula>31</formula>
    </cfRule>
  </conditionalFormatting>
  <conditionalFormatting sqref="E24">
    <cfRule type="cellIs" dxfId="18" priority="58" operator="greaterThan">
      <formula>30</formula>
    </cfRule>
  </conditionalFormatting>
  <conditionalFormatting sqref="E25">
    <cfRule type="cellIs" dxfId="17" priority="59" operator="lessThan">
      <formula>31</formula>
    </cfRule>
  </conditionalFormatting>
  <conditionalFormatting sqref="E25">
    <cfRule type="cellIs" dxfId="16" priority="60" operator="greaterThan">
      <formula>30</formula>
    </cfRule>
  </conditionalFormatting>
  <conditionalFormatting sqref="E26">
    <cfRule type="cellIs" dxfId="15" priority="61" operator="lessThan">
      <formula>31</formula>
    </cfRule>
  </conditionalFormatting>
  <conditionalFormatting sqref="E26">
    <cfRule type="cellIs" dxfId="14" priority="62" operator="greaterThan">
      <formula>30</formula>
    </cfRule>
  </conditionalFormatting>
  <conditionalFormatting sqref="E27">
    <cfRule type="cellIs" dxfId="13" priority="63" operator="lessThan">
      <formula>31</formula>
    </cfRule>
  </conditionalFormatting>
  <conditionalFormatting sqref="E27">
    <cfRule type="cellIs" dxfId="12" priority="64" operator="greaterThan">
      <formula>30</formula>
    </cfRule>
  </conditionalFormatting>
  <conditionalFormatting sqref="E28">
    <cfRule type="cellIs" dxfId="11" priority="65" operator="lessThan">
      <formula>31</formula>
    </cfRule>
  </conditionalFormatting>
  <conditionalFormatting sqref="E28">
    <cfRule type="cellIs" dxfId="10" priority="66" operator="greaterThan">
      <formula>30</formula>
    </cfRule>
  </conditionalFormatting>
  <conditionalFormatting sqref="E29">
    <cfRule type="cellIs" dxfId="9" priority="67" operator="lessThan">
      <formula>31</formula>
    </cfRule>
  </conditionalFormatting>
  <conditionalFormatting sqref="E29">
    <cfRule type="cellIs" dxfId="8" priority="68" operator="greaterThan">
      <formula>30</formula>
    </cfRule>
  </conditionalFormatting>
  <conditionalFormatting sqref="E30">
    <cfRule type="cellIs" dxfId="7" priority="69" operator="lessThan">
      <formula>31</formula>
    </cfRule>
  </conditionalFormatting>
  <conditionalFormatting sqref="E30">
    <cfRule type="cellIs" dxfId="6" priority="70" operator="greaterThan">
      <formula>30</formula>
    </cfRule>
  </conditionalFormatting>
  <conditionalFormatting sqref="E32">
    <cfRule type="cellIs" dxfId="5" priority="71" operator="lessThan">
      <formula>31</formula>
    </cfRule>
  </conditionalFormatting>
  <conditionalFormatting sqref="E32">
    <cfRule type="cellIs" dxfId="4" priority="72" operator="greaterThan">
      <formula>30</formula>
    </cfRule>
  </conditionalFormatting>
  <conditionalFormatting sqref="E31">
    <cfRule type="cellIs" dxfId="3" priority="73" operator="lessThan">
      <formula>31</formula>
    </cfRule>
  </conditionalFormatting>
  <conditionalFormatting sqref="E31">
    <cfRule type="cellIs" dxfId="2" priority="74" operator="greaterThan">
      <formula>30</formula>
    </cfRule>
  </conditionalFormatting>
  <conditionalFormatting sqref="E33">
    <cfRule type="cellIs" dxfId="1" priority="75" operator="lessThan">
      <formula>31</formula>
    </cfRule>
  </conditionalFormatting>
  <conditionalFormatting sqref="E33">
    <cfRule type="cellIs" dxfId="0" priority="76" operator="greaterThan">
      <formula>30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 Ads Template</vt:lpstr>
      <vt:lpstr>Keywords Research Template </vt:lpstr>
      <vt:lpstr>Budget</vt:lpstr>
      <vt:lpstr>Google Ads 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cathal.melinn@outlook.com</dc:creator>
  <cp:lastModifiedBy>YAFI</cp:lastModifiedBy>
  <dcterms:created xsi:type="dcterms:W3CDTF">2018-09-14T10:33:38Z</dcterms:created>
  <dcterms:modified xsi:type="dcterms:W3CDTF">2025-12-31T00:17:05Z</dcterms:modified>
</cp:coreProperties>
</file>